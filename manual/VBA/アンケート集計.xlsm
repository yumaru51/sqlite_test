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7900" windowHeight="12825"/>
  </bookViews>
  <sheets>
    <sheet name="Sheet1" sheetId="1" r:id="rId1"/>
    <sheet name="Sheet2" sheetId="2" r:id="rId2"/>
  </sheets>
  <calcPr calcId="145621"/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2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I2" i="2"/>
  <c r="G3" i="2"/>
  <c r="G2" i="2"/>
  <c r="C35" i="2" l="1"/>
  <c r="C34" i="2"/>
  <c r="C33" i="2"/>
  <c r="C32" i="2"/>
  <c r="C31" i="2"/>
  <c r="C14" i="2"/>
  <c r="C17" i="2"/>
  <c r="C21" i="2"/>
  <c r="C20" i="2"/>
  <c r="C19" i="2"/>
  <c r="C18" i="2"/>
  <c r="C13" i="2"/>
  <c r="C12" i="2"/>
  <c r="C11" i="2"/>
  <c r="C10" i="2"/>
  <c r="C25" i="2"/>
  <c r="C26" i="2"/>
  <c r="C27" i="2"/>
  <c r="C28" i="2"/>
  <c r="C24" i="2"/>
  <c r="C5" i="2"/>
  <c r="C6" i="2"/>
  <c r="C7" i="2"/>
  <c r="C4" i="2"/>
  <c r="C3" i="2"/>
</calcChain>
</file>

<file path=xl/sharedStrings.xml><?xml version="1.0" encoding="utf-8"?>
<sst xmlns="http://schemas.openxmlformats.org/spreadsheetml/2006/main" count="345" uniqueCount="44">
  <si>
    <t>ファイル名</t>
    <rPh sb="4" eb="5">
      <t>メイ</t>
    </rPh>
    <phoneticPr fontId="1"/>
  </si>
  <si>
    <t>１．今回のエクセル講習を受講した目的を選択してください</t>
  </si>
  <si>
    <t>２．エクセル講習の難易度はどうでしたか？</t>
    <phoneticPr fontId="1"/>
  </si>
  <si>
    <t>３．講習内容は満足できましたか？</t>
    <phoneticPr fontId="1"/>
  </si>
  <si>
    <t>４．上記で「やや不満足だった」「不満足だった」を選択した人は理由を教えてください。</t>
    <rPh sb="2" eb="4">
      <t>ジョウキ</t>
    </rPh>
    <rPh sb="8" eb="11">
      <t>フマンゾク</t>
    </rPh>
    <rPh sb="16" eb="19">
      <t>フマンゾク</t>
    </rPh>
    <rPh sb="24" eb="26">
      <t>センタク</t>
    </rPh>
    <rPh sb="28" eb="29">
      <t>ヒト</t>
    </rPh>
    <rPh sb="30" eb="32">
      <t>リユウ</t>
    </rPh>
    <rPh sb="33" eb="34">
      <t>オシ</t>
    </rPh>
    <phoneticPr fontId="1"/>
  </si>
  <si>
    <t>５．次回受けてみたい講習があれば選択してください。</t>
    <rPh sb="4" eb="5">
      <t>ウ</t>
    </rPh>
    <rPh sb="10" eb="12">
      <t>コウシュウ</t>
    </rPh>
    <rPh sb="16" eb="18">
      <t>センタク</t>
    </rPh>
    <phoneticPr fontId="1"/>
  </si>
  <si>
    <t>６．その他、感想・意見があればご自由にお書きください。</t>
    <rPh sb="4" eb="5">
      <t>タ</t>
    </rPh>
    <rPh sb="6" eb="8">
      <t>カンソウ</t>
    </rPh>
    <rPh sb="9" eb="11">
      <t>イケン</t>
    </rPh>
    <rPh sb="16" eb="18">
      <t>ジユウ</t>
    </rPh>
    <rPh sb="20" eb="21">
      <t>カ</t>
    </rPh>
    <phoneticPr fontId="1"/>
  </si>
  <si>
    <t>７．講師の教え方はどうでしたか？</t>
    <rPh sb="2" eb="4">
      <t>コウシ</t>
    </rPh>
    <rPh sb="5" eb="6">
      <t>オシ</t>
    </rPh>
    <rPh sb="7" eb="8">
      <t>カタ</t>
    </rPh>
    <phoneticPr fontId="1"/>
  </si>
  <si>
    <t>８．上記で「やや分かりにくかった」「分かりにくかった」を選択した人は理由を教えてください。</t>
    <rPh sb="2" eb="4">
      <t>ジョウキ</t>
    </rPh>
    <rPh sb="8" eb="9">
      <t>ワ</t>
    </rPh>
    <rPh sb="18" eb="19">
      <t>ワ</t>
    </rPh>
    <rPh sb="28" eb="30">
      <t>センタク</t>
    </rPh>
    <rPh sb="32" eb="33">
      <t>ヒト</t>
    </rPh>
    <rPh sb="34" eb="36">
      <t>リユウ</t>
    </rPh>
    <rPh sb="37" eb="38">
      <t>オシ</t>
    </rPh>
    <phoneticPr fontId="1"/>
  </si>
  <si>
    <t>部署でエクセルを利用していて、自分も利用できるようになりたいから</t>
    <phoneticPr fontId="1"/>
  </si>
  <si>
    <t>まだ利用はしていないが、これからエクセルを利用したいから</t>
    <phoneticPr fontId="1"/>
  </si>
  <si>
    <t>今後使用するかわからないが知識をつけておきたいから</t>
    <phoneticPr fontId="1"/>
  </si>
  <si>
    <t>ある程度エクセルの知識は持っているが、もっと詳しく知っておきたかったから</t>
    <phoneticPr fontId="1"/>
  </si>
  <si>
    <t>その他</t>
    <phoneticPr fontId="1"/>
  </si>
  <si>
    <t>PowerPoint</t>
    <phoneticPr fontId="1"/>
  </si>
  <si>
    <t>Word</t>
    <phoneticPr fontId="1"/>
  </si>
  <si>
    <t>Access</t>
    <phoneticPr fontId="1"/>
  </si>
  <si>
    <t>MotionBoard</t>
    <phoneticPr fontId="1"/>
  </si>
  <si>
    <t>C:\Users\y-kawauchi\Desktop\アンケートBOX</t>
    <phoneticPr fontId="1"/>
  </si>
  <si>
    <t>２．エクセル講習の難易度はどうでしたか？</t>
    <phoneticPr fontId="1"/>
  </si>
  <si>
    <t>難しかった</t>
    <rPh sb="0" eb="1">
      <t>ムズカ</t>
    </rPh>
    <phoneticPr fontId="1"/>
  </si>
  <si>
    <t>やや難しかった</t>
    <rPh sb="2" eb="3">
      <t>ムズカ</t>
    </rPh>
    <phoneticPr fontId="1"/>
  </si>
  <si>
    <t>丁度よかった</t>
    <rPh sb="0" eb="2">
      <t>チョウド</t>
    </rPh>
    <phoneticPr fontId="1"/>
  </si>
  <si>
    <t>やや簡単すぎた</t>
    <rPh sb="2" eb="4">
      <t>カンタン</t>
    </rPh>
    <phoneticPr fontId="1"/>
  </si>
  <si>
    <t>簡単すぎた</t>
    <rPh sb="0" eb="2">
      <t>カンタン</t>
    </rPh>
    <phoneticPr fontId="1"/>
  </si>
  <si>
    <t>満足できた</t>
    <rPh sb="0" eb="2">
      <t>マンゾク</t>
    </rPh>
    <phoneticPr fontId="1"/>
  </si>
  <si>
    <t>やや満足できた</t>
    <rPh sb="2" eb="4">
      <t>マンゾク</t>
    </rPh>
    <phoneticPr fontId="1"/>
  </si>
  <si>
    <t>どちらとも言えない</t>
    <rPh sb="5" eb="6">
      <t>イ</t>
    </rPh>
    <phoneticPr fontId="1"/>
  </si>
  <si>
    <t>やや不満足だった</t>
    <rPh sb="2" eb="5">
      <t>フマンゾク</t>
    </rPh>
    <phoneticPr fontId="1"/>
  </si>
  <si>
    <t>不満足だった</t>
    <rPh sb="0" eb="3">
      <t>フマンゾク</t>
    </rPh>
    <phoneticPr fontId="1"/>
  </si>
  <si>
    <t>３．講習内容は満足できましたか？</t>
    <phoneticPr fontId="1"/>
  </si>
  <si>
    <t>５．次回受けてみたい講習があれば選択してください。</t>
    <phoneticPr fontId="1"/>
  </si>
  <si>
    <t>７．講師の教え方はどうでしたか？</t>
    <phoneticPr fontId="1"/>
  </si>
  <si>
    <t>分かりやすかった</t>
    <rPh sb="0" eb="1">
      <t>ワ</t>
    </rPh>
    <phoneticPr fontId="1"/>
  </si>
  <si>
    <t>やや分かりやすかった</t>
    <rPh sb="2" eb="3">
      <t>ワ</t>
    </rPh>
    <phoneticPr fontId="1"/>
  </si>
  <si>
    <t>やや分かりにくかった</t>
    <rPh sb="2" eb="3">
      <t>ワ</t>
    </rPh>
    <phoneticPr fontId="1"/>
  </si>
  <si>
    <t>分かりにくかった</t>
    <rPh sb="0" eb="1">
      <t>ワ</t>
    </rPh>
    <phoneticPr fontId="1"/>
  </si>
  <si>
    <t>　</t>
    <phoneticPr fontId="1"/>
  </si>
  <si>
    <t>　</t>
    <phoneticPr fontId="1"/>
  </si>
  <si>
    <t>目的その他</t>
    <rPh sb="0" eb="2">
      <t>モクテキ</t>
    </rPh>
    <rPh sb="4" eb="5">
      <t>タ</t>
    </rPh>
    <phoneticPr fontId="1"/>
  </si>
  <si>
    <t>講習不満理由</t>
    <rPh sb="0" eb="2">
      <t>コウシュウ</t>
    </rPh>
    <rPh sb="2" eb="4">
      <t>フマン</t>
    </rPh>
    <rPh sb="4" eb="6">
      <t>リユウ</t>
    </rPh>
    <phoneticPr fontId="1"/>
  </si>
  <si>
    <t>受けてみたい講習その他</t>
    <rPh sb="0" eb="1">
      <t>ウ</t>
    </rPh>
    <rPh sb="6" eb="8">
      <t>コウシュウ</t>
    </rPh>
    <rPh sb="10" eb="11">
      <t>タ</t>
    </rPh>
    <phoneticPr fontId="1"/>
  </si>
  <si>
    <t>感想</t>
    <rPh sb="0" eb="2">
      <t>カンソウ</t>
    </rPh>
    <phoneticPr fontId="1"/>
  </si>
  <si>
    <t>講師分かりにくい理由</t>
    <rPh sb="0" eb="2">
      <t>コウシ</t>
    </rPh>
    <rPh sb="2" eb="3">
      <t>ワ</t>
    </rPh>
    <rPh sb="8" eb="10">
      <t>リユウ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</si>
</sst>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19050</xdr:rowOff>
        </xdr:from>
        <xdr:to>
          <xdr:col>21</xdr:col>
          <xdr:colOff>0</xdr:colOff>
          <xdr:row>4</xdr:row>
          <xdr:rowOff>28575</xdr:rowOff>
        </xdr:to>
        <xdr:sp macro="" textlink="">
          <xdr:nvSpPr>
            <xdr:cNvPr id="1025" name="参照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5</xdr:row>
          <xdr:rowOff>19050</xdr:rowOff>
        </xdr:from>
        <xdr:to>
          <xdr:col>21</xdr:col>
          <xdr:colOff>0</xdr:colOff>
          <xdr:row>7</xdr:row>
          <xdr:rowOff>19050</xdr:rowOff>
        </xdr:to>
        <xdr:sp macro="" textlink="">
          <xdr:nvSpPr>
            <xdr:cNvPr id="1026" name="回答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5</xdr:row>
          <xdr:rowOff>38100</xdr:rowOff>
        </xdr:to>
        <xdr:sp macro="" textlink="">
          <xdr:nvSpPr>
            <xdr:cNvPr id="2049" name="集計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"/>
  <sheetViews>
    <sheetView tabSelected="1" workbookViewId="0"/>
  </sheetViews>
  <sheetFormatPr defaultRowHeight="13.5" x14ac:dyDescent="0.15"/>
  <cols>
    <col min="1" max="1" width="49.375" style="6" bestFit="1" customWidth="1"/>
    <col min="2" max="7" width="10.375" style="6" customWidth="1"/>
    <col min="8" max="19" width="9" style="6"/>
  </cols>
  <sheetData>
    <row r="1" spans="1:20" ht="14.25" thickBot="1" x14ac:dyDescent="0.2">
      <c r="A1"/>
      <c r="B1" s="10" t="s">
        <v>1</v>
      </c>
      <c r="C1" s="11"/>
      <c r="D1" s="11"/>
      <c r="E1" s="11"/>
      <c r="F1" s="12"/>
      <c r="G1" s="5"/>
      <c r="H1" s="3" t="s">
        <v>2</v>
      </c>
      <c r="I1" s="3" t="s">
        <v>3</v>
      </c>
      <c r="J1" s="3" t="s">
        <v>4</v>
      </c>
      <c r="K1" s="10" t="s">
        <v>5</v>
      </c>
      <c r="L1" s="11"/>
      <c r="M1" s="11"/>
      <c r="N1" s="11"/>
      <c r="O1" s="12"/>
      <c r="P1" s="4"/>
      <c r="Q1" s="3" t="s">
        <v>6</v>
      </c>
      <c r="R1" s="3" t="s">
        <v>7</v>
      </c>
      <c r="S1" s="3" t="s">
        <v>8</v>
      </c>
      <c r="T1" t="s">
        <v>18</v>
      </c>
    </row>
    <row r="2" spans="1:20" ht="14.25" thickBot="1" x14ac:dyDescent="0.2">
      <c r="A2" s="3" t="s">
        <v>0</v>
      </c>
      <c r="B2" s="3" t="s">
        <v>9</v>
      </c>
      <c r="C2" s="1" t="s">
        <v>10</v>
      </c>
      <c r="D2" s="3" t="s">
        <v>11</v>
      </c>
      <c r="E2" s="3" t="s">
        <v>12</v>
      </c>
      <c r="F2" s="2" t="s">
        <v>13</v>
      </c>
      <c r="G2" s="2"/>
      <c r="H2" s="3"/>
      <c r="I2" s="3"/>
      <c r="J2" s="3"/>
      <c r="K2" s="3" t="s">
        <v>14</v>
      </c>
      <c r="L2" s="3" t="s">
        <v>15</v>
      </c>
      <c r="M2" s="3" t="s">
        <v>16</v>
      </c>
      <c r="N2" s="3" t="s">
        <v>17</v>
      </c>
      <c r="O2" s="3" t="s">
        <v>13</v>
      </c>
      <c r="P2" s="3"/>
      <c r="Q2" s="3"/>
      <c r="R2" s="3"/>
      <c r="S2" s="3"/>
    </row>
  </sheetData>
  <mergeCells count="2">
    <mergeCell ref="B1:F1"/>
    <mergeCell ref="K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参照">
          <controlPr defaultSize="0" autoLine="0" r:id="rId5">
            <anchor moveWithCells="1">
              <from>
                <xdr:col>19</xdr:col>
                <xdr:colOff>0</xdr:colOff>
                <xdr:row>2</xdr:row>
                <xdr:rowOff>19050</xdr:rowOff>
              </from>
              <to>
                <xdr:col>21</xdr:col>
                <xdr:colOff>0</xdr:colOff>
                <xdr:row>4</xdr:row>
                <xdr:rowOff>28575</xdr:rowOff>
              </to>
            </anchor>
          </controlPr>
        </control>
      </mc:Choice>
      <mc:Fallback>
        <control shapeId="1025" r:id="rId4" name="参照"/>
      </mc:Fallback>
    </mc:AlternateContent>
    <mc:AlternateContent xmlns:mc="http://schemas.openxmlformats.org/markup-compatibility/2006">
      <mc:Choice Requires="x14">
        <control shapeId="1026" r:id="rId6" name="回答">
          <controlPr defaultSize="0" autoLine="0" r:id="rId7">
            <anchor moveWithCells="1">
              <from>
                <xdr:col>19</xdr:col>
                <xdr:colOff>0</xdr:colOff>
                <xdr:row>5</xdr:row>
                <xdr:rowOff>19050</xdr:rowOff>
              </from>
              <to>
                <xdr:col>21</xdr:col>
                <xdr:colOff>0</xdr:colOff>
                <xdr:row>7</xdr:row>
                <xdr:rowOff>19050</xdr:rowOff>
              </to>
            </anchor>
          </controlPr>
        </control>
      </mc:Choice>
      <mc:Fallback>
        <control shapeId="1026" r:id="rId6" name="回答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P58"/>
  <sheetViews>
    <sheetView zoomScale="80" zoomScaleNormal="80" workbookViewId="0"/>
  </sheetViews>
  <sheetFormatPr defaultRowHeight="13.5" x14ac:dyDescent="0.15"/>
  <cols>
    <col min="2" max="2" width="61.375" customWidth="1"/>
    <col min="3" max="3" width="5.75" bestFit="1" customWidth="1"/>
    <col min="4" max="6" width="9.125" customWidth="1"/>
  </cols>
  <sheetData>
    <row r="1" spans="2:16" x14ac:dyDescent="0.15">
      <c r="G1" t="s">
        <v>39</v>
      </c>
      <c r="H1" t="s">
        <v>38</v>
      </c>
      <c r="I1" t="s">
        <v>40</v>
      </c>
      <c r="J1" t="s">
        <v>37</v>
      </c>
      <c r="K1" t="s">
        <v>41</v>
      </c>
      <c r="L1" t="s">
        <v>37</v>
      </c>
      <c r="M1" t="s">
        <v>42</v>
      </c>
      <c r="N1" t="s">
        <v>38</v>
      </c>
      <c r="O1" t="s">
        <v>43</v>
      </c>
      <c r="P1" t="s">
        <v>38</v>
      </c>
    </row>
    <row r="2" spans="2:16" x14ac:dyDescent="0.15">
      <c r="B2" s="13" t="s">
        <v>1</v>
      </c>
      <c r="C2" s="13"/>
      <c r="G2">
        <f>Sheet1!G3</f>
        <v>0</v>
      </c>
      <c r="H2" t="s">
        <v>37</v>
      </c>
      <c r="I2">
        <f>Sheet1!J3</f>
        <v>0</v>
      </c>
      <c r="J2" t="s">
        <v>37</v>
      </c>
      <c r="K2">
        <f>Sheet1!P3</f>
        <v>0</v>
      </c>
      <c r="L2" t="s">
        <v>37</v>
      </c>
      <c r="M2">
        <f>Sheet1!Q3</f>
        <v>0</v>
      </c>
      <c r="N2" t="s">
        <v>37</v>
      </c>
      <c r="O2">
        <f>Sheet1!S3</f>
        <v>0</v>
      </c>
      <c r="P2" t="s">
        <v>37</v>
      </c>
    </row>
    <row r="3" spans="2:16" x14ac:dyDescent="0.15">
      <c r="B3" s="9" t="s">
        <v>9</v>
      </c>
      <c r="C3" s="9">
        <f>COUNTIF(Sheet1!B:B,TRUE)</f>
        <v>0</v>
      </c>
      <c r="G3">
        <f>Sheet1!G4</f>
        <v>0</v>
      </c>
      <c r="H3" t="s">
        <v>37</v>
      </c>
      <c r="I3">
        <f>Sheet1!J4</f>
        <v>0</v>
      </c>
      <c r="J3" t="s">
        <v>37</v>
      </c>
      <c r="K3">
        <f>Sheet1!P4</f>
        <v>0</v>
      </c>
      <c r="L3" t="s">
        <v>37</v>
      </c>
      <c r="M3">
        <f>Sheet1!Q4</f>
        <v>0</v>
      </c>
      <c r="N3" t="s">
        <v>37</v>
      </c>
      <c r="O3">
        <f>Sheet1!S4</f>
        <v>0</v>
      </c>
      <c r="P3" t="s">
        <v>37</v>
      </c>
    </row>
    <row r="4" spans="2:16" x14ac:dyDescent="0.15">
      <c r="B4" s="9" t="s">
        <v>10</v>
      </c>
      <c r="C4" s="9">
        <f>COUNTIF(Sheet1!C:C,TRUE)</f>
        <v>0</v>
      </c>
      <c r="G4">
        <f>Sheet1!G5</f>
        <v>0</v>
      </c>
      <c r="H4" t="s">
        <v>37</v>
      </c>
      <c r="I4">
        <f>Sheet1!J5</f>
        <v>0</v>
      </c>
      <c r="J4" t="s">
        <v>37</v>
      </c>
      <c r="K4">
        <f>Sheet1!P5</f>
        <v>0</v>
      </c>
      <c r="L4" t="s">
        <v>37</v>
      </c>
      <c r="M4">
        <f>Sheet1!Q5</f>
        <v>0</v>
      </c>
      <c r="N4" t="s">
        <v>37</v>
      </c>
      <c r="O4">
        <f>Sheet1!S5</f>
        <v>0</v>
      </c>
      <c r="P4" t="s">
        <v>37</v>
      </c>
    </row>
    <row r="5" spans="2:16" x14ac:dyDescent="0.15">
      <c r="B5" s="9" t="s">
        <v>11</v>
      </c>
      <c r="C5" s="9">
        <f>COUNTIF(Sheet1!D:D,TRUE)</f>
        <v>0</v>
      </c>
      <c r="G5">
        <f>Sheet1!G6</f>
        <v>0</v>
      </c>
      <c r="H5" t="s">
        <v>37</v>
      </c>
      <c r="I5">
        <f>Sheet1!J6</f>
        <v>0</v>
      </c>
      <c r="J5" t="s">
        <v>37</v>
      </c>
      <c r="K5">
        <f>Sheet1!P6</f>
        <v>0</v>
      </c>
      <c r="L5" t="s">
        <v>37</v>
      </c>
      <c r="M5">
        <f>Sheet1!Q6</f>
        <v>0</v>
      </c>
      <c r="N5" t="s">
        <v>37</v>
      </c>
      <c r="O5">
        <f>Sheet1!S6</f>
        <v>0</v>
      </c>
      <c r="P5" t="s">
        <v>37</v>
      </c>
    </row>
    <row r="6" spans="2:16" x14ac:dyDescent="0.15">
      <c r="B6" s="9" t="s">
        <v>12</v>
      </c>
      <c r="C6" s="9">
        <f>COUNTIF(Sheet1!E:E,TRUE)</f>
        <v>0</v>
      </c>
      <c r="G6">
        <f>Sheet1!G7</f>
        <v>0</v>
      </c>
      <c r="H6" t="s">
        <v>37</v>
      </c>
      <c r="I6">
        <f>Sheet1!J7</f>
        <v>0</v>
      </c>
      <c r="J6" t="s">
        <v>37</v>
      </c>
      <c r="K6">
        <f>Sheet1!P7</f>
        <v>0</v>
      </c>
      <c r="L6" t="s">
        <v>37</v>
      </c>
      <c r="M6">
        <f>Sheet1!Q7</f>
        <v>0</v>
      </c>
      <c r="N6" t="s">
        <v>37</v>
      </c>
      <c r="O6">
        <f>Sheet1!S7</f>
        <v>0</v>
      </c>
      <c r="P6" t="s">
        <v>37</v>
      </c>
    </row>
    <row r="7" spans="2:16" x14ac:dyDescent="0.15">
      <c r="B7" s="9" t="s">
        <v>13</v>
      </c>
      <c r="C7" s="9">
        <f>COUNTIF(Sheet1!F:F,TRUE)</f>
        <v>0</v>
      </c>
      <c r="G7">
        <f>Sheet1!G8</f>
        <v>0</v>
      </c>
      <c r="H7" t="s">
        <v>37</v>
      </c>
      <c r="I7">
        <f>Sheet1!J8</f>
        <v>0</v>
      </c>
      <c r="J7" t="s">
        <v>37</v>
      </c>
      <c r="K7">
        <f>Sheet1!P8</f>
        <v>0</v>
      </c>
      <c r="L7" t="s">
        <v>37</v>
      </c>
      <c r="M7">
        <f>Sheet1!Q8</f>
        <v>0</v>
      </c>
      <c r="N7" t="s">
        <v>37</v>
      </c>
      <c r="O7">
        <f>Sheet1!S8</f>
        <v>0</v>
      </c>
      <c r="P7" t="s">
        <v>37</v>
      </c>
    </row>
    <row r="8" spans="2:16" x14ac:dyDescent="0.15">
      <c r="G8">
        <f>Sheet1!G9</f>
        <v>0</v>
      </c>
      <c r="H8" t="s">
        <v>37</v>
      </c>
      <c r="I8">
        <f>Sheet1!J9</f>
        <v>0</v>
      </c>
      <c r="J8" t="s">
        <v>37</v>
      </c>
      <c r="K8">
        <f>Sheet1!P9</f>
        <v>0</v>
      </c>
      <c r="L8" t="s">
        <v>37</v>
      </c>
      <c r="M8">
        <f>Sheet1!Q9</f>
        <v>0</v>
      </c>
      <c r="N8" t="s">
        <v>37</v>
      </c>
      <c r="O8">
        <f>Sheet1!S9</f>
        <v>0</v>
      </c>
      <c r="P8" t="s">
        <v>37</v>
      </c>
    </row>
    <row r="9" spans="2:16" x14ac:dyDescent="0.15">
      <c r="B9" s="13" t="s">
        <v>19</v>
      </c>
      <c r="C9" s="13"/>
      <c r="G9">
        <f>Sheet1!G10</f>
        <v>0</v>
      </c>
      <c r="H9" t="s">
        <v>37</v>
      </c>
      <c r="I9">
        <f>Sheet1!J10</f>
        <v>0</v>
      </c>
      <c r="J9" t="s">
        <v>37</v>
      </c>
      <c r="K9">
        <f>Sheet1!P10</f>
        <v>0</v>
      </c>
      <c r="L9" t="s">
        <v>37</v>
      </c>
      <c r="M9">
        <f>Sheet1!Q10</f>
        <v>0</v>
      </c>
      <c r="N9" t="s">
        <v>37</v>
      </c>
      <c r="O9">
        <f>Sheet1!S10</f>
        <v>0</v>
      </c>
      <c r="P9" t="s">
        <v>37</v>
      </c>
    </row>
    <row r="10" spans="2:16" x14ac:dyDescent="0.15">
      <c r="B10" s="9" t="s">
        <v>20</v>
      </c>
      <c r="C10" s="9">
        <f>COUNTIF(Sheet1!$H:$H,1)</f>
        <v>0</v>
      </c>
      <c r="G10">
        <f>Sheet1!G11</f>
        <v>0</v>
      </c>
      <c r="H10" t="s">
        <v>37</v>
      </c>
      <c r="I10">
        <f>Sheet1!J11</f>
        <v>0</v>
      </c>
      <c r="J10" t="s">
        <v>37</v>
      </c>
      <c r="K10">
        <f>Sheet1!P11</f>
        <v>0</v>
      </c>
      <c r="L10" t="s">
        <v>37</v>
      </c>
      <c r="M10">
        <f>Sheet1!Q11</f>
        <v>0</v>
      </c>
      <c r="N10" t="s">
        <v>37</v>
      </c>
      <c r="O10">
        <f>Sheet1!S11</f>
        <v>0</v>
      </c>
      <c r="P10" t="s">
        <v>37</v>
      </c>
    </row>
    <row r="11" spans="2:16" x14ac:dyDescent="0.15">
      <c r="B11" s="9" t="s">
        <v>21</v>
      </c>
      <c r="C11" s="9">
        <f>COUNTIF(Sheet1!$H:$H,2)</f>
        <v>0</v>
      </c>
      <c r="G11">
        <f>Sheet1!G12</f>
        <v>0</v>
      </c>
      <c r="H11" t="s">
        <v>37</v>
      </c>
      <c r="I11">
        <f>Sheet1!J12</f>
        <v>0</v>
      </c>
      <c r="J11" t="s">
        <v>37</v>
      </c>
      <c r="K11">
        <f>Sheet1!P12</f>
        <v>0</v>
      </c>
      <c r="L11" t="s">
        <v>37</v>
      </c>
      <c r="M11">
        <f>Sheet1!Q12</f>
        <v>0</v>
      </c>
      <c r="N11" t="s">
        <v>37</v>
      </c>
      <c r="O11">
        <f>Sheet1!S12</f>
        <v>0</v>
      </c>
      <c r="P11" t="s">
        <v>37</v>
      </c>
    </row>
    <row r="12" spans="2:16" x14ac:dyDescent="0.15">
      <c r="B12" s="9" t="s">
        <v>22</v>
      </c>
      <c r="C12" s="9">
        <f>COUNTIF(Sheet1!$H:$H,3)</f>
        <v>0</v>
      </c>
      <c r="G12">
        <f>Sheet1!G13</f>
        <v>0</v>
      </c>
      <c r="H12" t="s">
        <v>37</v>
      </c>
      <c r="I12">
        <f>Sheet1!J13</f>
        <v>0</v>
      </c>
      <c r="J12" t="s">
        <v>37</v>
      </c>
      <c r="K12">
        <f>Sheet1!P13</f>
        <v>0</v>
      </c>
      <c r="L12" t="s">
        <v>37</v>
      </c>
      <c r="M12">
        <f>Sheet1!Q13</f>
        <v>0</v>
      </c>
      <c r="N12" t="s">
        <v>37</v>
      </c>
      <c r="O12">
        <f>Sheet1!S13</f>
        <v>0</v>
      </c>
      <c r="P12" t="s">
        <v>37</v>
      </c>
    </row>
    <row r="13" spans="2:16" x14ac:dyDescent="0.15">
      <c r="B13" s="9" t="s">
        <v>23</v>
      </c>
      <c r="C13" s="9">
        <f>COUNTIF(Sheet1!$H:$H,4)</f>
        <v>0</v>
      </c>
      <c r="G13">
        <f>Sheet1!G14</f>
        <v>0</v>
      </c>
      <c r="H13" t="s">
        <v>37</v>
      </c>
      <c r="I13">
        <f>Sheet1!J14</f>
        <v>0</v>
      </c>
      <c r="J13" t="s">
        <v>37</v>
      </c>
      <c r="K13">
        <f>Sheet1!P14</f>
        <v>0</v>
      </c>
      <c r="L13" t="s">
        <v>37</v>
      </c>
      <c r="M13">
        <f>Sheet1!Q14</f>
        <v>0</v>
      </c>
      <c r="N13" t="s">
        <v>37</v>
      </c>
      <c r="O13">
        <f>Sheet1!S14</f>
        <v>0</v>
      </c>
      <c r="P13" t="s">
        <v>37</v>
      </c>
    </row>
    <row r="14" spans="2:16" x14ac:dyDescent="0.15">
      <c r="B14" s="9" t="s">
        <v>24</v>
      </c>
      <c r="C14" s="9">
        <f>COUNTIF(Sheet1!$H:$H,5)</f>
        <v>0</v>
      </c>
      <c r="G14">
        <f>Sheet1!G15</f>
        <v>0</v>
      </c>
      <c r="H14" t="s">
        <v>37</v>
      </c>
      <c r="I14">
        <f>Sheet1!J15</f>
        <v>0</v>
      </c>
      <c r="J14" t="s">
        <v>37</v>
      </c>
      <c r="K14">
        <f>Sheet1!P15</f>
        <v>0</v>
      </c>
      <c r="L14" t="s">
        <v>37</v>
      </c>
      <c r="M14">
        <f>Sheet1!Q15</f>
        <v>0</v>
      </c>
      <c r="N14" t="s">
        <v>37</v>
      </c>
      <c r="O14">
        <f>Sheet1!S15</f>
        <v>0</v>
      </c>
      <c r="P14" t="s">
        <v>37</v>
      </c>
    </row>
    <row r="15" spans="2:16" x14ac:dyDescent="0.15">
      <c r="G15">
        <f>Sheet1!G16</f>
        <v>0</v>
      </c>
      <c r="H15" t="s">
        <v>37</v>
      </c>
      <c r="I15">
        <f>Sheet1!J16</f>
        <v>0</v>
      </c>
      <c r="J15" t="s">
        <v>37</v>
      </c>
      <c r="K15">
        <f>Sheet1!P16</f>
        <v>0</v>
      </c>
      <c r="L15" t="s">
        <v>37</v>
      </c>
      <c r="M15">
        <f>Sheet1!Q16</f>
        <v>0</v>
      </c>
      <c r="N15" t="s">
        <v>37</v>
      </c>
      <c r="O15">
        <f>Sheet1!S16</f>
        <v>0</v>
      </c>
      <c r="P15" t="s">
        <v>37</v>
      </c>
    </row>
    <row r="16" spans="2:16" x14ac:dyDescent="0.15">
      <c r="B16" s="13" t="s">
        <v>30</v>
      </c>
      <c r="C16" s="13"/>
      <c r="G16">
        <f>Sheet1!G17</f>
        <v>0</v>
      </c>
      <c r="H16" t="s">
        <v>37</v>
      </c>
      <c r="I16">
        <f>Sheet1!J17</f>
        <v>0</v>
      </c>
      <c r="J16" t="s">
        <v>37</v>
      </c>
      <c r="K16">
        <f>Sheet1!P17</f>
        <v>0</v>
      </c>
      <c r="L16" t="s">
        <v>37</v>
      </c>
      <c r="M16">
        <f>Sheet1!Q17</f>
        <v>0</v>
      </c>
      <c r="N16" t="s">
        <v>37</v>
      </c>
      <c r="O16">
        <f>Sheet1!S17</f>
        <v>0</v>
      </c>
      <c r="P16" t="s">
        <v>37</v>
      </c>
    </row>
    <row r="17" spans="2:16" x14ac:dyDescent="0.15">
      <c r="B17" s="9" t="s">
        <v>25</v>
      </c>
      <c r="C17" s="9">
        <f>COUNTIF(Sheet1!$I:$I,1)</f>
        <v>0</v>
      </c>
      <c r="G17">
        <f>Sheet1!G18</f>
        <v>0</v>
      </c>
      <c r="H17" t="s">
        <v>37</v>
      </c>
      <c r="I17">
        <f>Sheet1!J18</f>
        <v>0</v>
      </c>
      <c r="J17" t="s">
        <v>37</v>
      </c>
      <c r="K17">
        <f>Sheet1!P18</f>
        <v>0</v>
      </c>
      <c r="L17" t="s">
        <v>37</v>
      </c>
      <c r="M17">
        <f>Sheet1!Q18</f>
        <v>0</v>
      </c>
      <c r="N17" t="s">
        <v>37</v>
      </c>
      <c r="O17">
        <f>Sheet1!S18</f>
        <v>0</v>
      </c>
      <c r="P17" t="s">
        <v>37</v>
      </c>
    </row>
    <row r="18" spans="2:16" x14ac:dyDescent="0.15">
      <c r="B18" s="9" t="s">
        <v>26</v>
      </c>
      <c r="C18" s="9">
        <f>COUNTIF(Sheet1!$I:$I,2)</f>
        <v>0</v>
      </c>
      <c r="G18">
        <f>Sheet1!G19</f>
        <v>0</v>
      </c>
      <c r="H18" t="s">
        <v>37</v>
      </c>
      <c r="I18">
        <f>Sheet1!J19</f>
        <v>0</v>
      </c>
      <c r="J18" t="s">
        <v>37</v>
      </c>
      <c r="K18">
        <f>Sheet1!P19</f>
        <v>0</v>
      </c>
      <c r="L18" t="s">
        <v>37</v>
      </c>
      <c r="M18">
        <f>Sheet1!Q19</f>
        <v>0</v>
      </c>
      <c r="N18" t="s">
        <v>37</v>
      </c>
      <c r="O18">
        <f>Sheet1!S19</f>
        <v>0</v>
      </c>
      <c r="P18" t="s">
        <v>37</v>
      </c>
    </row>
    <row r="19" spans="2:16" x14ac:dyDescent="0.15">
      <c r="B19" s="9" t="s">
        <v>27</v>
      </c>
      <c r="C19" s="9">
        <f>COUNTIF(Sheet1!$I:$I,3)</f>
        <v>0</v>
      </c>
      <c r="G19">
        <f>Sheet1!G20</f>
        <v>0</v>
      </c>
      <c r="H19" t="s">
        <v>37</v>
      </c>
      <c r="I19">
        <f>Sheet1!J20</f>
        <v>0</v>
      </c>
      <c r="J19" t="s">
        <v>37</v>
      </c>
      <c r="K19">
        <f>Sheet1!P20</f>
        <v>0</v>
      </c>
      <c r="L19" t="s">
        <v>37</v>
      </c>
      <c r="M19">
        <f>Sheet1!Q20</f>
        <v>0</v>
      </c>
      <c r="N19" t="s">
        <v>37</v>
      </c>
      <c r="O19">
        <f>Sheet1!S20</f>
        <v>0</v>
      </c>
      <c r="P19" t="s">
        <v>37</v>
      </c>
    </row>
    <row r="20" spans="2:16" x14ac:dyDescent="0.15">
      <c r="B20" s="9" t="s">
        <v>28</v>
      </c>
      <c r="C20" s="9">
        <f>COUNTIF(Sheet1!$I:$I,4)</f>
        <v>0</v>
      </c>
      <c r="G20">
        <f>Sheet1!G21</f>
        <v>0</v>
      </c>
      <c r="H20" t="s">
        <v>37</v>
      </c>
      <c r="I20">
        <f>Sheet1!J21</f>
        <v>0</v>
      </c>
      <c r="J20" t="s">
        <v>37</v>
      </c>
      <c r="K20">
        <f>Sheet1!P21</f>
        <v>0</v>
      </c>
      <c r="L20" t="s">
        <v>37</v>
      </c>
      <c r="M20">
        <f>Sheet1!Q21</f>
        <v>0</v>
      </c>
      <c r="N20" t="s">
        <v>37</v>
      </c>
      <c r="O20">
        <f>Sheet1!S21</f>
        <v>0</v>
      </c>
      <c r="P20" t="s">
        <v>37</v>
      </c>
    </row>
    <row r="21" spans="2:16" x14ac:dyDescent="0.15">
      <c r="B21" s="9" t="s">
        <v>29</v>
      </c>
      <c r="C21" s="9">
        <f>COUNTIF(Sheet1!$I:$I,5)</f>
        <v>0</v>
      </c>
      <c r="G21">
        <f>Sheet1!G22</f>
        <v>0</v>
      </c>
      <c r="H21" t="s">
        <v>37</v>
      </c>
      <c r="I21">
        <f>Sheet1!J22</f>
        <v>0</v>
      </c>
      <c r="J21" t="s">
        <v>37</v>
      </c>
      <c r="K21">
        <f>Sheet1!P22</f>
        <v>0</v>
      </c>
      <c r="L21" t="s">
        <v>37</v>
      </c>
      <c r="M21">
        <f>Sheet1!Q22</f>
        <v>0</v>
      </c>
      <c r="N21" t="s">
        <v>37</v>
      </c>
      <c r="O21">
        <f>Sheet1!S22</f>
        <v>0</v>
      </c>
      <c r="P21" t="s">
        <v>37</v>
      </c>
    </row>
    <row r="22" spans="2:16" x14ac:dyDescent="0.15">
      <c r="G22">
        <f>Sheet1!G23</f>
        <v>0</v>
      </c>
      <c r="H22" t="s">
        <v>37</v>
      </c>
      <c r="I22">
        <f>Sheet1!J23</f>
        <v>0</v>
      </c>
      <c r="J22" t="s">
        <v>37</v>
      </c>
      <c r="K22">
        <f>Sheet1!P23</f>
        <v>0</v>
      </c>
      <c r="L22" t="s">
        <v>37</v>
      </c>
      <c r="M22">
        <f>Sheet1!Q23</f>
        <v>0</v>
      </c>
      <c r="N22" t="s">
        <v>37</v>
      </c>
      <c r="O22">
        <f>Sheet1!S23</f>
        <v>0</v>
      </c>
      <c r="P22" t="s">
        <v>37</v>
      </c>
    </row>
    <row r="23" spans="2:16" x14ac:dyDescent="0.15">
      <c r="B23" s="13" t="s">
        <v>31</v>
      </c>
      <c r="C23" s="13"/>
      <c r="G23">
        <f>Sheet1!G24</f>
        <v>0</v>
      </c>
      <c r="H23" t="s">
        <v>37</v>
      </c>
      <c r="I23">
        <f>Sheet1!J24</f>
        <v>0</v>
      </c>
      <c r="J23" t="s">
        <v>37</v>
      </c>
      <c r="K23">
        <f>Sheet1!P24</f>
        <v>0</v>
      </c>
      <c r="L23" t="s">
        <v>37</v>
      </c>
      <c r="M23">
        <f>Sheet1!Q24</f>
        <v>0</v>
      </c>
      <c r="N23" t="s">
        <v>37</v>
      </c>
      <c r="O23">
        <f>Sheet1!S24</f>
        <v>0</v>
      </c>
      <c r="P23" t="s">
        <v>37</v>
      </c>
    </row>
    <row r="24" spans="2:16" x14ac:dyDescent="0.15">
      <c r="B24" s="9" t="s">
        <v>14</v>
      </c>
      <c r="C24" s="9">
        <f>COUNTIF(Sheet1!K:K,TRUE)</f>
        <v>0</v>
      </c>
      <c r="G24">
        <f>Sheet1!G25</f>
        <v>0</v>
      </c>
      <c r="H24" t="s">
        <v>37</v>
      </c>
      <c r="I24">
        <f>Sheet1!J25</f>
        <v>0</v>
      </c>
      <c r="J24" t="s">
        <v>37</v>
      </c>
      <c r="K24">
        <f>Sheet1!P25</f>
        <v>0</v>
      </c>
      <c r="L24" t="s">
        <v>37</v>
      </c>
      <c r="M24">
        <f>Sheet1!Q25</f>
        <v>0</v>
      </c>
      <c r="N24" t="s">
        <v>37</v>
      </c>
      <c r="O24">
        <f>Sheet1!S25</f>
        <v>0</v>
      </c>
      <c r="P24" t="s">
        <v>37</v>
      </c>
    </row>
    <row r="25" spans="2:16" x14ac:dyDescent="0.15">
      <c r="B25" s="9" t="s">
        <v>15</v>
      </c>
      <c r="C25" s="9">
        <f>COUNTIF(Sheet1!L:L,TRUE)</f>
        <v>0</v>
      </c>
      <c r="G25">
        <f>Sheet1!G26</f>
        <v>0</v>
      </c>
      <c r="H25" t="s">
        <v>37</v>
      </c>
      <c r="I25">
        <f>Sheet1!J26</f>
        <v>0</v>
      </c>
      <c r="J25" t="s">
        <v>37</v>
      </c>
      <c r="K25">
        <f>Sheet1!P26</f>
        <v>0</v>
      </c>
      <c r="L25" t="s">
        <v>37</v>
      </c>
      <c r="M25">
        <f>Sheet1!Q26</f>
        <v>0</v>
      </c>
      <c r="N25" t="s">
        <v>37</v>
      </c>
      <c r="O25">
        <f>Sheet1!S26</f>
        <v>0</v>
      </c>
      <c r="P25" t="s">
        <v>37</v>
      </c>
    </row>
    <row r="26" spans="2:16" x14ac:dyDescent="0.15">
      <c r="B26" s="9" t="s">
        <v>16</v>
      </c>
      <c r="C26" s="9">
        <f>COUNTIF(Sheet1!M:M,TRUE)</f>
        <v>0</v>
      </c>
      <c r="G26">
        <f>Sheet1!G27</f>
        <v>0</v>
      </c>
      <c r="H26" t="s">
        <v>37</v>
      </c>
      <c r="I26">
        <f>Sheet1!J27</f>
        <v>0</v>
      </c>
      <c r="J26" t="s">
        <v>37</v>
      </c>
      <c r="K26">
        <f>Sheet1!P27</f>
        <v>0</v>
      </c>
      <c r="L26" t="s">
        <v>37</v>
      </c>
      <c r="M26">
        <f>Sheet1!Q27</f>
        <v>0</v>
      </c>
      <c r="N26" t="s">
        <v>37</v>
      </c>
      <c r="O26">
        <f>Sheet1!S27</f>
        <v>0</v>
      </c>
      <c r="P26" t="s">
        <v>37</v>
      </c>
    </row>
    <row r="27" spans="2:16" x14ac:dyDescent="0.15">
      <c r="B27" s="9" t="s">
        <v>17</v>
      </c>
      <c r="C27" s="9">
        <f>COUNTIF(Sheet1!N:N,TRUE)</f>
        <v>0</v>
      </c>
      <c r="D27" s="8"/>
      <c r="E27" s="8"/>
      <c r="F27" s="8"/>
      <c r="G27">
        <f>Sheet1!G28</f>
        <v>0</v>
      </c>
      <c r="H27" t="s">
        <v>37</v>
      </c>
      <c r="I27">
        <f>Sheet1!J28</f>
        <v>0</v>
      </c>
      <c r="J27" t="s">
        <v>37</v>
      </c>
      <c r="K27">
        <f>Sheet1!P28</f>
        <v>0</v>
      </c>
      <c r="L27" t="s">
        <v>37</v>
      </c>
      <c r="M27">
        <f>Sheet1!Q28</f>
        <v>0</v>
      </c>
      <c r="N27" t="s">
        <v>37</v>
      </c>
      <c r="O27">
        <f>Sheet1!S28</f>
        <v>0</v>
      </c>
      <c r="P27" t="s">
        <v>37</v>
      </c>
    </row>
    <row r="28" spans="2:16" x14ac:dyDescent="0.15">
      <c r="B28" s="9" t="s">
        <v>13</v>
      </c>
      <c r="C28" s="9">
        <f>COUNTIF(Sheet1!O:O,TRUE)</f>
        <v>0</v>
      </c>
      <c r="G28">
        <f>Sheet1!G29</f>
        <v>0</v>
      </c>
      <c r="H28" t="s">
        <v>37</v>
      </c>
      <c r="I28">
        <f>Sheet1!J29</f>
        <v>0</v>
      </c>
      <c r="J28" t="s">
        <v>37</v>
      </c>
      <c r="K28">
        <f>Sheet1!P29</f>
        <v>0</v>
      </c>
      <c r="L28" t="s">
        <v>37</v>
      </c>
      <c r="M28">
        <f>Sheet1!Q29</f>
        <v>0</v>
      </c>
      <c r="N28" t="s">
        <v>37</v>
      </c>
      <c r="O28">
        <f>Sheet1!S29</f>
        <v>0</v>
      </c>
      <c r="P28" t="s">
        <v>37</v>
      </c>
    </row>
    <row r="29" spans="2:16" x14ac:dyDescent="0.15">
      <c r="B29" s="7"/>
      <c r="C29" s="7"/>
      <c r="G29">
        <f>Sheet1!G30</f>
        <v>0</v>
      </c>
      <c r="H29" t="s">
        <v>37</v>
      </c>
      <c r="I29">
        <f>Sheet1!J30</f>
        <v>0</v>
      </c>
      <c r="J29" t="s">
        <v>37</v>
      </c>
      <c r="K29">
        <f>Sheet1!P30</f>
        <v>0</v>
      </c>
      <c r="L29" t="s">
        <v>37</v>
      </c>
      <c r="M29">
        <f>Sheet1!Q30</f>
        <v>0</v>
      </c>
      <c r="N29" t="s">
        <v>37</v>
      </c>
      <c r="O29">
        <f>Sheet1!S30</f>
        <v>0</v>
      </c>
      <c r="P29" t="s">
        <v>37</v>
      </c>
    </row>
    <row r="30" spans="2:16" x14ac:dyDescent="0.15">
      <c r="B30" s="13" t="s">
        <v>32</v>
      </c>
      <c r="C30" s="13"/>
      <c r="G30">
        <f>Sheet1!G31</f>
        <v>0</v>
      </c>
      <c r="H30" t="s">
        <v>37</v>
      </c>
      <c r="I30">
        <f>Sheet1!J31</f>
        <v>0</v>
      </c>
      <c r="J30" t="s">
        <v>37</v>
      </c>
      <c r="K30">
        <f>Sheet1!P31</f>
        <v>0</v>
      </c>
      <c r="L30" t="s">
        <v>37</v>
      </c>
      <c r="M30">
        <f>Sheet1!Q31</f>
        <v>0</v>
      </c>
      <c r="N30" t="s">
        <v>37</v>
      </c>
      <c r="O30">
        <f>Sheet1!S31</f>
        <v>0</v>
      </c>
      <c r="P30" t="s">
        <v>37</v>
      </c>
    </row>
    <row r="31" spans="2:16" x14ac:dyDescent="0.15">
      <c r="B31" s="9" t="s">
        <v>33</v>
      </c>
      <c r="C31" s="9">
        <f>COUNTIF(Sheet1!$R:$R,1)</f>
        <v>0</v>
      </c>
      <c r="G31">
        <f>Sheet1!G32</f>
        <v>0</v>
      </c>
      <c r="H31" t="s">
        <v>37</v>
      </c>
      <c r="I31">
        <f>Sheet1!J32</f>
        <v>0</v>
      </c>
      <c r="J31" t="s">
        <v>37</v>
      </c>
      <c r="K31">
        <f>Sheet1!P32</f>
        <v>0</v>
      </c>
      <c r="L31" t="s">
        <v>37</v>
      </c>
      <c r="M31">
        <f>Sheet1!Q32</f>
        <v>0</v>
      </c>
      <c r="N31" t="s">
        <v>37</v>
      </c>
      <c r="O31">
        <f>Sheet1!S32</f>
        <v>0</v>
      </c>
      <c r="P31" t="s">
        <v>37</v>
      </c>
    </row>
    <row r="32" spans="2:16" x14ac:dyDescent="0.15">
      <c r="B32" s="9" t="s">
        <v>34</v>
      </c>
      <c r="C32" s="9">
        <f>COUNTIF(Sheet1!$R:$R,2)</f>
        <v>0</v>
      </c>
      <c r="G32">
        <f>Sheet1!G33</f>
        <v>0</v>
      </c>
      <c r="H32" t="s">
        <v>37</v>
      </c>
      <c r="I32">
        <f>Sheet1!J33</f>
        <v>0</v>
      </c>
      <c r="J32" t="s">
        <v>37</v>
      </c>
      <c r="K32">
        <f>Sheet1!P33</f>
        <v>0</v>
      </c>
      <c r="L32" t="s">
        <v>37</v>
      </c>
      <c r="M32">
        <f>Sheet1!Q33</f>
        <v>0</v>
      </c>
      <c r="N32" t="s">
        <v>37</v>
      </c>
      <c r="O32">
        <f>Sheet1!S33</f>
        <v>0</v>
      </c>
      <c r="P32" t="s">
        <v>37</v>
      </c>
    </row>
    <row r="33" spans="2:16" x14ac:dyDescent="0.15">
      <c r="B33" s="9" t="s">
        <v>27</v>
      </c>
      <c r="C33" s="9">
        <f>COUNTIF(Sheet1!$R:$R,3)</f>
        <v>0</v>
      </c>
      <c r="G33">
        <f>Sheet1!G34</f>
        <v>0</v>
      </c>
      <c r="H33" t="s">
        <v>37</v>
      </c>
      <c r="I33">
        <f>Sheet1!J34</f>
        <v>0</v>
      </c>
      <c r="J33" t="s">
        <v>37</v>
      </c>
      <c r="K33">
        <f>Sheet1!P34</f>
        <v>0</v>
      </c>
      <c r="L33" t="s">
        <v>37</v>
      </c>
      <c r="M33">
        <f>Sheet1!Q34</f>
        <v>0</v>
      </c>
      <c r="N33" t="s">
        <v>37</v>
      </c>
      <c r="O33">
        <f>Sheet1!S34</f>
        <v>0</v>
      </c>
      <c r="P33" t="s">
        <v>37</v>
      </c>
    </row>
    <row r="34" spans="2:16" x14ac:dyDescent="0.15">
      <c r="B34" s="9" t="s">
        <v>35</v>
      </c>
      <c r="C34" s="9">
        <f>COUNTIF(Sheet1!$R:$R,4)</f>
        <v>0</v>
      </c>
      <c r="G34">
        <f>Sheet1!G35</f>
        <v>0</v>
      </c>
      <c r="H34" t="s">
        <v>37</v>
      </c>
      <c r="I34">
        <f>Sheet1!J35</f>
        <v>0</v>
      </c>
      <c r="J34" t="s">
        <v>37</v>
      </c>
      <c r="K34">
        <f>Sheet1!P35</f>
        <v>0</v>
      </c>
      <c r="L34" t="s">
        <v>37</v>
      </c>
      <c r="M34">
        <f>Sheet1!Q35</f>
        <v>0</v>
      </c>
      <c r="N34" t="s">
        <v>37</v>
      </c>
      <c r="O34">
        <f>Sheet1!S35</f>
        <v>0</v>
      </c>
      <c r="P34" t="s">
        <v>37</v>
      </c>
    </row>
    <row r="35" spans="2:16" x14ac:dyDescent="0.15">
      <c r="B35" s="9" t="s">
        <v>36</v>
      </c>
      <c r="C35" s="9">
        <f>COUNTIF(Sheet1!$R:$R,5)</f>
        <v>0</v>
      </c>
      <c r="G35">
        <f>Sheet1!G36</f>
        <v>0</v>
      </c>
      <c r="H35" t="s">
        <v>37</v>
      </c>
      <c r="I35">
        <f>Sheet1!J36</f>
        <v>0</v>
      </c>
      <c r="J35" t="s">
        <v>37</v>
      </c>
      <c r="K35">
        <f>Sheet1!P36</f>
        <v>0</v>
      </c>
      <c r="L35" t="s">
        <v>37</v>
      </c>
      <c r="M35">
        <f>Sheet1!Q36</f>
        <v>0</v>
      </c>
      <c r="N35" t="s">
        <v>37</v>
      </c>
      <c r="O35">
        <f>Sheet1!S36</f>
        <v>0</v>
      </c>
      <c r="P35" t="s">
        <v>37</v>
      </c>
    </row>
    <row r="36" spans="2:16" x14ac:dyDescent="0.15">
      <c r="G36">
        <f>Sheet1!G37</f>
        <v>0</v>
      </c>
      <c r="H36" t="s">
        <v>37</v>
      </c>
      <c r="I36">
        <f>Sheet1!J37</f>
        <v>0</v>
      </c>
      <c r="J36" t="s">
        <v>37</v>
      </c>
      <c r="K36">
        <f>Sheet1!P37</f>
        <v>0</v>
      </c>
      <c r="L36" t="s">
        <v>37</v>
      </c>
      <c r="M36">
        <f>Sheet1!Q37</f>
        <v>0</v>
      </c>
      <c r="N36" t="s">
        <v>37</v>
      </c>
      <c r="O36">
        <f>Sheet1!S37</f>
        <v>0</v>
      </c>
      <c r="P36" t="s">
        <v>37</v>
      </c>
    </row>
    <row r="37" spans="2:16" x14ac:dyDescent="0.15">
      <c r="G37">
        <f>Sheet1!G38</f>
        <v>0</v>
      </c>
      <c r="H37" t="s">
        <v>37</v>
      </c>
      <c r="I37">
        <f>Sheet1!J38</f>
        <v>0</v>
      </c>
      <c r="J37" t="s">
        <v>37</v>
      </c>
      <c r="K37">
        <f>Sheet1!P38</f>
        <v>0</v>
      </c>
      <c r="L37" t="s">
        <v>37</v>
      </c>
      <c r="M37">
        <f>Sheet1!Q38</f>
        <v>0</v>
      </c>
      <c r="N37" t="s">
        <v>37</v>
      </c>
      <c r="O37">
        <f>Sheet1!S38</f>
        <v>0</v>
      </c>
      <c r="P37" t="s">
        <v>37</v>
      </c>
    </row>
    <row r="38" spans="2:16" x14ac:dyDescent="0.15">
      <c r="G38">
        <f>Sheet1!G39</f>
        <v>0</v>
      </c>
      <c r="H38" t="s">
        <v>37</v>
      </c>
      <c r="I38">
        <f>Sheet1!J39</f>
        <v>0</v>
      </c>
      <c r="J38" t="s">
        <v>37</v>
      </c>
      <c r="K38">
        <f>Sheet1!P39</f>
        <v>0</v>
      </c>
      <c r="L38" t="s">
        <v>37</v>
      </c>
      <c r="M38">
        <f>Sheet1!Q39</f>
        <v>0</v>
      </c>
      <c r="N38" t="s">
        <v>37</v>
      </c>
      <c r="O38">
        <f>Sheet1!S39</f>
        <v>0</v>
      </c>
      <c r="P38" t="s">
        <v>37</v>
      </c>
    </row>
    <row r="39" spans="2:16" x14ac:dyDescent="0.15">
      <c r="G39">
        <f>Sheet1!G40</f>
        <v>0</v>
      </c>
      <c r="H39" t="s">
        <v>37</v>
      </c>
      <c r="I39">
        <f>Sheet1!J40</f>
        <v>0</v>
      </c>
      <c r="J39" t="s">
        <v>37</v>
      </c>
      <c r="K39">
        <f>Sheet1!P40</f>
        <v>0</v>
      </c>
      <c r="L39" t="s">
        <v>37</v>
      </c>
      <c r="M39">
        <f>Sheet1!Q40</f>
        <v>0</v>
      </c>
      <c r="N39" t="s">
        <v>37</v>
      </c>
      <c r="O39">
        <f>Sheet1!S40</f>
        <v>0</v>
      </c>
      <c r="P39" t="s">
        <v>37</v>
      </c>
    </row>
    <row r="40" spans="2:16" x14ac:dyDescent="0.15">
      <c r="G40">
        <f>Sheet1!G41</f>
        <v>0</v>
      </c>
      <c r="H40" t="s">
        <v>37</v>
      </c>
      <c r="I40">
        <f>Sheet1!J41</f>
        <v>0</v>
      </c>
      <c r="J40" t="s">
        <v>37</v>
      </c>
      <c r="K40">
        <f>Sheet1!P41</f>
        <v>0</v>
      </c>
      <c r="L40" t="s">
        <v>37</v>
      </c>
      <c r="M40">
        <f>Sheet1!Q41</f>
        <v>0</v>
      </c>
      <c r="N40" t="s">
        <v>37</v>
      </c>
      <c r="O40">
        <f>Sheet1!S41</f>
        <v>0</v>
      </c>
      <c r="P40" t="s">
        <v>37</v>
      </c>
    </row>
    <row r="41" spans="2:16" x14ac:dyDescent="0.15">
      <c r="G41">
        <f>Sheet1!G42</f>
        <v>0</v>
      </c>
      <c r="H41" t="s">
        <v>37</v>
      </c>
      <c r="I41">
        <f>Sheet1!J42</f>
        <v>0</v>
      </c>
      <c r="J41" t="s">
        <v>37</v>
      </c>
      <c r="K41">
        <f>Sheet1!P42</f>
        <v>0</v>
      </c>
      <c r="L41" t="s">
        <v>37</v>
      </c>
      <c r="M41">
        <f>Sheet1!Q42</f>
        <v>0</v>
      </c>
      <c r="N41" t="s">
        <v>37</v>
      </c>
      <c r="O41">
        <f>Sheet1!S42</f>
        <v>0</v>
      </c>
      <c r="P41" t="s">
        <v>37</v>
      </c>
    </row>
    <row r="42" spans="2:16" x14ac:dyDescent="0.15">
      <c r="G42">
        <f>Sheet1!G43</f>
        <v>0</v>
      </c>
      <c r="H42" t="s">
        <v>37</v>
      </c>
      <c r="I42">
        <f>Sheet1!J43</f>
        <v>0</v>
      </c>
      <c r="J42" t="s">
        <v>37</v>
      </c>
      <c r="K42">
        <f>Sheet1!P43</f>
        <v>0</v>
      </c>
      <c r="L42" t="s">
        <v>37</v>
      </c>
      <c r="M42">
        <f>Sheet1!Q43</f>
        <v>0</v>
      </c>
      <c r="N42" t="s">
        <v>37</v>
      </c>
      <c r="O42">
        <f>Sheet1!S43</f>
        <v>0</v>
      </c>
      <c r="P42" t="s">
        <v>37</v>
      </c>
    </row>
    <row r="43" spans="2:16" x14ac:dyDescent="0.15">
      <c r="G43">
        <f>Sheet1!G44</f>
        <v>0</v>
      </c>
      <c r="H43" t="s">
        <v>37</v>
      </c>
      <c r="I43">
        <f>Sheet1!J44</f>
        <v>0</v>
      </c>
      <c r="J43" t="s">
        <v>37</v>
      </c>
      <c r="K43">
        <f>Sheet1!P44</f>
        <v>0</v>
      </c>
      <c r="L43" t="s">
        <v>37</v>
      </c>
      <c r="M43">
        <f>Sheet1!Q44</f>
        <v>0</v>
      </c>
      <c r="N43" t="s">
        <v>37</v>
      </c>
      <c r="O43">
        <f>Sheet1!S44</f>
        <v>0</v>
      </c>
      <c r="P43" t="s">
        <v>37</v>
      </c>
    </row>
    <row r="44" spans="2:16" x14ac:dyDescent="0.15">
      <c r="G44">
        <f>Sheet1!G45</f>
        <v>0</v>
      </c>
      <c r="H44" t="s">
        <v>37</v>
      </c>
      <c r="I44">
        <f>Sheet1!J45</f>
        <v>0</v>
      </c>
      <c r="J44" t="s">
        <v>37</v>
      </c>
      <c r="K44">
        <f>Sheet1!P45</f>
        <v>0</v>
      </c>
      <c r="L44" t="s">
        <v>37</v>
      </c>
      <c r="M44">
        <f>Sheet1!Q45</f>
        <v>0</v>
      </c>
      <c r="N44" t="s">
        <v>37</v>
      </c>
      <c r="O44">
        <f>Sheet1!S45</f>
        <v>0</v>
      </c>
      <c r="P44" t="s">
        <v>37</v>
      </c>
    </row>
    <row r="45" spans="2:16" x14ac:dyDescent="0.15">
      <c r="G45">
        <f>Sheet1!G46</f>
        <v>0</v>
      </c>
      <c r="H45" t="s">
        <v>37</v>
      </c>
      <c r="I45">
        <f>Sheet1!J46</f>
        <v>0</v>
      </c>
      <c r="J45" t="s">
        <v>37</v>
      </c>
      <c r="K45">
        <f>Sheet1!P46</f>
        <v>0</v>
      </c>
      <c r="L45" t="s">
        <v>37</v>
      </c>
      <c r="M45">
        <f>Sheet1!Q46</f>
        <v>0</v>
      </c>
      <c r="N45" t="s">
        <v>37</v>
      </c>
      <c r="O45">
        <f>Sheet1!S46</f>
        <v>0</v>
      </c>
      <c r="P45" t="s">
        <v>37</v>
      </c>
    </row>
    <row r="46" spans="2:16" x14ac:dyDescent="0.15">
      <c r="G46">
        <f>Sheet1!G47</f>
        <v>0</v>
      </c>
      <c r="H46" t="s">
        <v>37</v>
      </c>
      <c r="I46">
        <f>Sheet1!J47</f>
        <v>0</v>
      </c>
      <c r="J46" t="s">
        <v>37</v>
      </c>
      <c r="K46">
        <f>Sheet1!P47</f>
        <v>0</v>
      </c>
      <c r="L46" t="s">
        <v>37</v>
      </c>
      <c r="M46">
        <f>Sheet1!Q47</f>
        <v>0</v>
      </c>
      <c r="N46" t="s">
        <v>37</v>
      </c>
      <c r="O46">
        <f>Sheet1!S47</f>
        <v>0</v>
      </c>
      <c r="P46" t="s">
        <v>37</v>
      </c>
    </row>
    <row r="47" spans="2:16" x14ac:dyDescent="0.15">
      <c r="G47">
        <f>Sheet1!G48</f>
        <v>0</v>
      </c>
      <c r="H47" t="s">
        <v>37</v>
      </c>
      <c r="I47">
        <f>Sheet1!J48</f>
        <v>0</v>
      </c>
      <c r="J47" t="s">
        <v>37</v>
      </c>
      <c r="K47">
        <f>Sheet1!P48</f>
        <v>0</v>
      </c>
      <c r="L47" t="s">
        <v>37</v>
      </c>
      <c r="M47">
        <f>Sheet1!Q48</f>
        <v>0</v>
      </c>
      <c r="N47" t="s">
        <v>37</v>
      </c>
      <c r="O47">
        <f>Sheet1!S48</f>
        <v>0</v>
      </c>
      <c r="P47" t="s">
        <v>37</v>
      </c>
    </row>
    <row r="48" spans="2:16" x14ac:dyDescent="0.15">
      <c r="G48">
        <f>Sheet1!G49</f>
        <v>0</v>
      </c>
      <c r="H48" t="s">
        <v>37</v>
      </c>
      <c r="I48">
        <f>Sheet1!J49</f>
        <v>0</v>
      </c>
      <c r="J48" t="s">
        <v>37</v>
      </c>
      <c r="K48">
        <f>Sheet1!P49</f>
        <v>0</v>
      </c>
      <c r="L48" t="s">
        <v>37</v>
      </c>
      <c r="M48">
        <f>Sheet1!Q49</f>
        <v>0</v>
      </c>
      <c r="N48" t="s">
        <v>37</v>
      </c>
      <c r="O48">
        <f>Sheet1!S49</f>
        <v>0</v>
      </c>
      <c r="P48" t="s">
        <v>37</v>
      </c>
    </row>
    <row r="49" spans="7:16" x14ac:dyDescent="0.15">
      <c r="G49">
        <f>Sheet1!G50</f>
        <v>0</v>
      </c>
      <c r="H49" t="s">
        <v>37</v>
      </c>
      <c r="I49">
        <f>Sheet1!J50</f>
        <v>0</v>
      </c>
      <c r="J49" t="s">
        <v>37</v>
      </c>
      <c r="K49">
        <f>Sheet1!P50</f>
        <v>0</v>
      </c>
      <c r="L49" t="s">
        <v>37</v>
      </c>
      <c r="M49">
        <f>Sheet1!Q50</f>
        <v>0</v>
      </c>
      <c r="N49" t="s">
        <v>37</v>
      </c>
      <c r="O49">
        <f>Sheet1!S50</f>
        <v>0</v>
      </c>
      <c r="P49" t="s">
        <v>37</v>
      </c>
    </row>
    <row r="50" spans="7:16" x14ac:dyDescent="0.15">
      <c r="G50">
        <f>Sheet1!G51</f>
        <v>0</v>
      </c>
      <c r="H50" t="s">
        <v>37</v>
      </c>
      <c r="I50">
        <f>Sheet1!J51</f>
        <v>0</v>
      </c>
      <c r="J50" t="s">
        <v>37</v>
      </c>
      <c r="K50">
        <f>Sheet1!P51</f>
        <v>0</v>
      </c>
      <c r="L50" t="s">
        <v>37</v>
      </c>
      <c r="M50">
        <f>Sheet1!Q51</f>
        <v>0</v>
      </c>
      <c r="N50" t="s">
        <v>37</v>
      </c>
      <c r="O50">
        <f>Sheet1!S51</f>
        <v>0</v>
      </c>
      <c r="P50" t="s">
        <v>37</v>
      </c>
    </row>
    <row r="51" spans="7:16" x14ac:dyDescent="0.15">
      <c r="G51">
        <f>Sheet1!G52</f>
        <v>0</v>
      </c>
      <c r="H51" t="s">
        <v>37</v>
      </c>
      <c r="I51">
        <f>Sheet1!J52</f>
        <v>0</v>
      </c>
      <c r="J51" t="s">
        <v>37</v>
      </c>
      <c r="K51">
        <f>Sheet1!P52</f>
        <v>0</v>
      </c>
      <c r="L51" t="s">
        <v>37</v>
      </c>
      <c r="M51">
        <f>Sheet1!Q52</f>
        <v>0</v>
      </c>
      <c r="N51" t="s">
        <v>37</v>
      </c>
      <c r="O51">
        <f>Sheet1!S52</f>
        <v>0</v>
      </c>
      <c r="P51" t="s">
        <v>37</v>
      </c>
    </row>
    <row r="52" spans="7:16" x14ac:dyDescent="0.15">
      <c r="G52">
        <f>Sheet1!G53</f>
        <v>0</v>
      </c>
      <c r="H52" t="s">
        <v>37</v>
      </c>
      <c r="I52">
        <f>Sheet1!J53</f>
        <v>0</v>
      </c>
      <c r="J52" t="s">
        <v>37</v>
      </c>
      <c r="K52">
        <f>Sheet1!P53</f>
        <v>0</v>
      </c>
      <c r="L52" t="s">
        <v>37</v>
      </c>
      <c r="M52">
        <f>Sheet1!Q53</f>
        <v>0</v>
      </c>
      <c r="N52" t="s">
        <v>37</v>
      </c>
      <c r="O52">
        <f>Sheet1!S53</f>
        <v>0</v>
      </c>
      <c r="P52" t="s">
        <v>37</v>
      </c>
    </row>
    <row r="53" spans="7:16" x14ac:dyDescent="0.15">
      <c r="G53">
        <f>Sheet1!G54</f>
        <v>0</v>
      </c>
      <c r="H53" t="s">
        <v>37</v>
      </c>
      <c r="I53">
        <f>Sheet1!J54</f>
        <v>0</v>
      </c>
      <c r="J53" t="s">
        <v>37</v>
      </c>
      <c r="K53">
        <f>Sheet1!P54</f>
        <v>0</v>
      </c>
      <c r="L53" t="s">
        <v>37</v>
      </c>
      <c r="M53">
        <f>Sheet1!Q54</f>
        <v>0</v>
      </c>
      <c r="N53" t="s">
        <v>37</v>
      </c>
      <c r="O53">
        <f>Sheet1!S54</f>
        <v>0</v>
      </c>
      <c r="P53" t="s">
        <v>37</v>
      </c>
    </row>
    <row r="54" spans="7:16" x14ac:dyDescent="0.15">
      <c r="G54">
        <f>Sheet1!G55</f>
        <v>0</v>
      </c>
      <c r="H54" t="s">
        <v>37</v>
      </c>
      <c r="I54">
        <f>Sheet1!J55</f>
        <v>0</v>
      </c>
      <c r="J54" t="s">
        <v>37</v>
      </c>
      <c r="K54">
        <f>Sheet1!P55</f>
        <v>0</v>
      </c>
      <c r="L54" t="s">
        <v>37</v>
      </c>
      <c r="M54">
        <f>Sheet1!Q55</f>
        <v>0</v>
      </c>
      <c r="N54" t="s">
        <v>37</v>
      </c>
      <c r="O54">
        <f>Sheet1!S55</f>
        <v>0</v>
      </c>
      <c r="P54" t="s">
        <v>37</v>
      </c>
    </row>
    <row r="55" spans="7:16" x14ac:dyDescent="0.15">
      <c r="G55">
        <f>Sheet1!G56</f>
        <v>0</v>
      </c>
      <c r="H55" t="s">
        <v>37</v>
      </c>
      <c r="I55">
        <f>Sheet1!J56</f>
        <v>0</v>
      </c>
      <c r="J55" t="s">
        <v>37</v>
      </c>
      <c r="K55">
        <f>Sheet1!P56</f>
        <v>0</v>
      </c>
      <c r="L55" t="s">
        <v>37</v>
      </c>
      <c r="M55">
        <f>Sheet1!Q56</f>
        <v>0</v>
      </c>
      <c r="N55" t="s">
        <v>37</v>
      </c>
      <c r="O55">
        <f>Sheet1!S56</f>
        <v>0</v>
      </c>
      <c r="P55" t="s">
        <v>37</v>
      </c>
    </row>
    <row r="56" spans="7:16" x14ac:dyDescent="0.15">
      <c r="G56">
        <f>Sheet1!G57</f>
        <v>0</v>
      </c>
      <c r="H56" t="s">
        <v>37</v>
      </c>
      <c r="I56">
        <f>Sheet1!J57</f>
        <v>0</v>
      </c>
      <c r="J56" t="s">
        <v>37</v>
      </c>
      <c r="K56">
        <f>Sheet1!P57</f>
        <v>0</v>
      </c>
      <c r="L56" t="s">
        <v>37</v>
      </c>
      <c r="M56">
        <f>Sheet1!Q57</f>
        <v>0</v>
      </c>
      <c r="N56" t="s">
        <v>37</v>
      </c>
      <c r="O56">
        <f>Sheet1!S57</f>
        <v>0</v>
      </c>
      <c r="P56" t="s">
        <v>37</v>
      </c>
    </row>
    <row r="57" spans="7:16" x14ac:dyDescent="0.15">
      <c r="G57">
        <f>Sheet1!G58</f>
        <v>0</v>
      </c>
      <c r="H57" t="s">
        <v>37</v>
      </c>
      <c r="I57">
        <f>Sheet1!J58</f>
        <v>0</v>
      </c>
      <c r="J57" t="s">
        <v>37</v>
      </c>
      <c r="K57">
        <f>Sheet1!P58</f>
        <v>0</v>
      </c>
      <c r="L57" t="s">
        <v>37</v>
      </c>
      <c r="M57">
        <f>Sheet1!Q58</f>
        <v>0</v>
      </c>
      <c r="N57" t="s">
        <v>37</v>
      </c>
      <c r="O57">
        <f>Sheet1!S58</f>
        <v>0</v>
      </c>
      <c r="P57" t="s">
        <v>37</v>
      </c>
    </row>
    <row r="58" spans="7:16" x14ac:dyDescent="0.15">
      <c r="G58">
        <f>Sheet1!G59</f>
        <v>0</v>
      </c>
      <c r="H58" t="s">
        <v>37</v>
      </c>
      <c r="I58">
        <f>Sheet1!J59</f>
        <v>0</v>
      </c>
      <c r="J58" t="s">
        <v>37</v>
      </c>
      <c r="K58">
        <f>Sheet1!P59</f>
        <v>0</v>
      </c>
      <c r="L58" t="s">
        <v>37</v>
      </c>
      <c r="M58">
        <f>Sheet1!Q59</f>
        <v>0</v>
      </c>
      <c r="N58" t="s">
        <v>37</v>
      </c>
      <c r="O58">
        <f>Sheet1!S59</f>
        <v>0</v>
      </c>
      <c r="P58" t="s">
        <v>37</v>
      </c>
    </row>
  </sheetData>
  <mergeCells count="5">
    <mergeCell ref="B30:C30"/>
    <mergeCell ref="B2:C2"/>
    <mergeCell ref="B9:C9"/>
    <mergeCell ref="B16:C16"/>
    <mergeCell ref="B23:C23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集計">
          <controlPr defaultSize="0" autoLine="0" r:id="rId5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5</xdr:row>
                <xdr:rowOff>38100</xdr:rowOff>
              </to>
            </anchor>
          </controlPr>
        </control>
      </mc:Choice>
      <mc:Fallback>
        <control shapeId="2049" r:id="rId4" name="集計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石原産業株式会社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川内雄貴@Y総務部</dc:creator>
  <cp:lastModifiedBy>川内雄貴@Y総務部</cp:lastModifiedBy>
  <dcterms:created xsi:type="dcterms:W3CDTF">2017-10-16T04:10:24Z</dcterms:created>
  <dcterms:modified xsi:type="dcterms:W3CDTF">2017-11-02T06:53:14Z</dcterms:modified>
</cp:coreProperties>
</file>